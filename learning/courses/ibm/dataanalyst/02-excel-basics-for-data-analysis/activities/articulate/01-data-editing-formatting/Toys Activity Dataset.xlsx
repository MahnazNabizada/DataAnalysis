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97" documentId="11_5425242173B288A7F3E1F8009B9ACAA8EFBC279B" xr6:coauthVersionLast="47" xr6:coauthVersionMax="47" xr10:uidLastSave="{E29375E4-CAAE-41BF-86E0-0E4D7266E766}"/>
  <bookViews>
    <workbookView xWindow="0" yWindow="0" windowWidth="0" windowHeight="0" xr2:uid="{00000000-000D-0000-FFFF-FFFF00000000}"/>
  </bookViews>
  <sheets>
    <sheet name="Group 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jPHc//Z9C86GDDW9FD53DACs98Q=="/>
    </ext>
  </extLst>
</workbook>
</file>

<file path=xl/calcChain.xml><?xml version="1.0" encoding="utf-8"?>
<calcChain xmlns="http://schemas.openxmlformats.org/spreadsheetml/2006/main">
  <c r="E26" i="1" l="1"/>
  <c r="E2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3" i="1"/>
  <c r="B23" i="1"/>
  <c r="B24" i="1"/>
  <c r="B25" i="1"/>
  <c r="B26" i="1"/>
  <c r="B27" i="1"/>
  <c r="B22" i="1"/>
  <c r="C23" i="1"/>
  <c r="C24" i="1"/>
  <c r="C25" i="1"/>
  <c r="C26" i="1"/>
  <c r="C27" i="1"/>
  <c r="C22" i="1"/>
  <c r="F4" i="1"/>
  <c r="F8" i="1"/>
  <c r="F10" i="1"/>
  <c r="F3" i="1"/>
  <c r="E4" i="1"/>
  <c r="G4" i="1" s="1"/>
  <c r="E5" i="1"/>
  <c r="E6" i="1"/>
  <c r="E7" i="1"/>
  <c r="E8" i="1"/>
  <c r="G8" i="1" s="1"/>
  <c r="E9" i="1"/>
  <c r="E10" i="1"/>
  <c r="G10" i="1" s="1"/>
  <c r="E11" i="1"/>
  <c r="E12" i="1"/>
  <c r="E13" i="1"/>
  <c r="E14" i="1"/>
  <c r="E15" i="1"/>
  <c r="E16" i="1"/>
  <c r="E3" i="1"/>
  <c r="G3" i="1" s="1"/>
  <c r="F16" i="1" l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9" i="1"/>
  <c r="G9" i="1" s="1"/>
  <c r="F7" i="1"/>
  <c r="G7" i="1" s="1"/>
  <c r="F6" i="1"/>
  <c r="G6" i="1" s="1"/>
  <c r="F5" i="1"/>
  <c r="G5" i="1" s="1"/>
</calcChain>
</file>

<file path=xl/sharedStrings.xml><?xml version="1.0" encoding="utf-8"?>
<sst xmlns="http://schemas.openxmlformats.org/spreadsheetml/2006/main" count="48" uniqueCount="33">
  <si>
    <t>Toys Activity</t>
  </si>
  <si>
    <t>Category</t>
  </si>
  <si>
    <t>Toys Ordered</t>
  </si>
  <si>
    <t>Price Each</t>
  </si>
  <si>
    <t>Q. Ordered</t>
  </si>
  <si>
    <t>Cost</t>
  </si>
  <si>
    <t>Discount</t>
  </si>
  <si>
    <t>Final Cost</t>
  </si>
  <si>
    <t>Offer</t>
  </si>
  <si>
    <t>Dolls</t>
  </si>
  <si>
    <t>BBQ Barbie Doll</t>
  </si>
  <si>
    <t>Prince Eric Doll</t>
  </si>
  <si>
    <t>Princess Jasmine Doll</t>
  </si>
  <si>
    <t>Action figures</t>
  </si>
  <si>
    <t>BatMan</t>
  </si>
  <si>
    <t xml:space="preserve">Spiderman </t>
  </si>
  <si>
    <t>Educational Toys</t>
  </si>
  <si>
    <t>Robot Kit</t>
  </si>
  <si>
    <t>Creative toys</t>
  </si>
  <si>
    <t>Spirograph</t>
  </si>
  <si>
    <t>Lego</t>
  </si>
  <si>
    <t>Speak and Spell</t>
  </si>
  <si>
    <t>Electronic Toys</t>
  </si>
  <si>
    <t>Digital Pet</t>
  </si>
  <si>
    <t>Robot</t>
  </si>
  <si>
    <t>Games</t>
  </si>
  <si>
    <t>PS5</t>
  </si>
  <si>
    <t>Xbox</t>
  </si>
  <si>
    <t>Stickers</t>
  </si>
  <si>
    <t>Summary</t>
  </si>
  <si>
    <t>Today's Offer</t>
  </si>
  <si>
    <t>Total Price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</si>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</sst>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-[$£-809]* #,##0.00_-;\-[$£-809]* #,##0.00_-;_-[$£-809]* &quot;-&quot;??_-;_-@_-"/>
    <numFmt numFmtId="169" formatCode="[$£-809]#,##0.00"/>
    <numFmt numFmtId="171" formatCode="[$£-809]#,##0"/>
  </numFmts>
  <fonts count="6">
    <font>
      <sz val="11"/>
      <color theme="1"/>
      <name val="Calibri"/>
    </font>
    <font>
      <sz val="12"/>
      <color theme="1"/>
      <name val="Calibri"/>
    </font>
    <font>
      <sz val="10"/>
      <color theme="1"/>
      <name val="Calibri"/>
    </font>
    <font>
      <b/>
      <sz val="15"/>
      <color theme="3"/>
      <name val="Calibri"/>
      <scheme val="minor"/>
    </font>
    <font>
      <b/>
      <sz val="15"/>
      <color theme="0"/>
      <name val="Calibri"/>
      <scheme val="minor"/>
    </font>
    <font>
      <b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19">
    <xf numFmtId="0" fontId="0" fillId="0" borderId="0" xfId="0" applyFont="1" applyAlignment="1"/>
    <xf numFmtId="0" fontId="4" fillId="2" borderId="1" xfId="1" applyFont="1" applyFill="1" applyAlignment="1">
      <alignment horizont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4" fillId="2" borderId="0" xfId="1" applyFont="1" applyFill="1" applyBorder="1" applyAlignment="1">
      <alignment horizontal="center"/>
    </xf>
    <xf numFmtId="166" fontId="0" fillId="0" borderId="0" xfId="0" applyNumberFormat="1" applyFont="1" applyAlignment="1"/>
    <xf numFmtId="169" fontId="1" fillId="0" borderId="2" xfId="0" applyNumberFormat="1" applyFont="1" applyBorder="1" applyAlignment="1">
      <alignment vertical="center"/>
    </xf>
    <xf numFmtId="169" fontId="0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166" fontId="5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left"/>
    </xf>
    <xf numFmtId="171" fontId="0" fillId="0" borderId="0" xfId="0" applyNumberFormat="1" applyFont="1" applyAlignment="1"/>
    <xf numFmtId="166" fontId="4" fillId="2" borderId="1" xfId="1" applyNumberFormat="1" applyFont="1" applyFill="1" applyAlignment="1"/>
    <xf numFmtId="0" fontId="4" fillId="2" borderId="0" xfId="1" applyFont="1" applyFill="1" applyBorder="1" applyAlignment="1">
      <alignment horizontal="center"/>
    </xf>
    <xf numFmtId="9" fontId="0" fillId="0" borderId="2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9" fontId="0" fillId="0" borderId="3" xfId="0" applyNumberFormat="1" applyFont="1" applyBorder="1" applyAlignment="1">
      <alignment vertical="center"/>
    </xf>
    <xf numFmtId="9" fontId="0" fillId="0" borderId="0" xfId="0" applyNumberFormat="1" applyFont="1" applyAlignment="1"/>
  </cellXfs>
  <cellStyles count="2">
    <cellStyle name="Heading 1" xfId="1" builtinId="16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E26" sqref="E26"/>
    </sheetView>
  </sheetViews>
  <sheetFormatPr defaultColWidth="14.42578125" defaultRowHeight="16.5" customHeight="1"/>
  <cols>
    <col min="1" max="1" width="21.42578125" customWidth="1"/>
    <col min="2" max="2" width="25.140625" customWidth="1"/>
    <col min="3" max="3" width="16.7109375" customWidth="1"/>
    <col min="4" max="4" width="17.140625" customWidth="1"/>
    <col min="5" max="5" width="18.28515625" style="6" bestFit="1" customWidth="1"/>
    <col min="6" max="6" width="14.5703125" customWidth="1"/>
    <col min="7" max="8" width="13.140625" customWidth="1"/>
    <col min="9" max="27" width="8.7109375" customWidth="1"/>
  </cols>
  <sheetData>
    <row r="1" spans="1:8" ht="16.5" customHeight="1">
      <c r="A1" s="5" t="s">
        <v>0</v>
      </c>
      <c r="B1" s="5"/>
      <c r="C1" s="5"/>
      <c r="D1" s="5"/>
      <c r="E1" s="5"/>
      <c r="F1" s="5"/>
      <c r="G1" s="5"/>
      <c r="H1" s="14"/>
    </row>
    <row r="2" spans="1:8" ht="16.5" customHeight="1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16" t="s">
        <v>7</v>
      </c>
      <c r="H2" s="9" t="s">
        <v>8</v>
      </c>
    </row>
    <row r="3" spans="1:8" ht="16.5" customHeight="1">
      <c r="A3" s="3" t="s">
        <v>9</v>
      </c>
      <c r="B3" s="2" t="s">
        <v>10</v>
      </c>
      <c r="C3" s="4">
        <v>12.99</v>
      </c>
      <c r="D3" s="2">
        <v>2</v>
      </c>
      <c r="E3" s="7">
        <f>C3*D3</f>
        <v>25.98</v>
      </c>
      <c r="F3" s="8">
        <f>IF(D3&gt;7,0.1*E3,IF(D3&gt;4,0.05*E3,0))</f>
        <v>0</v>
      </c>
      <c r="G3" s="17">
        <f>E3-F3</f>
        <v>25.98</v>
      </c>
      <c r="H3" s="15">
        <f>IF(D3&gt;10,50%,0)</f>
        <v>0</v>
      </c>
    </row>
    <row r="4" spans="1:8" ht="16.5" customHeight="1">
      <c r="A4" s="3" t="s">
        <v>9</v>
      </c>
      <c r="B4" s="2" t="s">
        <v>11</v>
      </c>
      <c r="C4" s="4">
        <v>8.99</v>
      </c>
      <c r="D4" s="2">
        <v>3</v>
      </c>
      <c r="E4" s="7">
        <f t="shared" ref="E4:E16" si="0">C4*D4</f>
        <v>26.97</v>
      </c>
      <c r="F4" s="8">
        <f t="shared" ref="F4:F16" si="1">IF(D4&gt;7,0.1*E4,IF(D4&gt;4,0.05*E4,0))</f>
        <v>0</v>
      </c>
      <c r="G4" s="17">
        <f t="shared" ref="G4:G16" si="2">E4-F4</f>
        <v>26.97</v>
      </c>
      <c r="H4" s="15">
        <f t="shared" ref="H4:H16" si="3">IF(D4&gt;10,50%,0)</f>
        <v>0</v>
      </c>
    </row>
    <row r="5" spans="1:8" ht="16.5" customHeight="1">
      <c r="A5" s="3" t="s">
        <v>9</v>
      </c>
      <c r="B5" s="2" t="s">
        <v>12</v>
      </c>
      <c r="C5" s="4">
        <v>9.99</v>
      </c>
      <c r="D5" s="2">
        <v>10</v>
      </c>
      <c r="E5" s="7">
        <f t="shared" si="0"/>
        <v>99.9</v>
      </c>
      <c r="F5" s="8">
        <f t="shared" si="1"/>
        <v>9.990000000000002</v>
      </c>
      <c r="G5" s="17">
        <f t="shared" si="2"/>
        <v>89.91</v>
      </c>
      <c r="H5" s="15">
        <f t="shared" si="3"/>
        <v>0</v>
      </c>
    </row>
    <row r="6" spans="1:8" ht="16.5" customHeight="1">
      <c r="A6" s="3" t="s">
        <v>13</v>
      </c>
      <c r="B6" s="2" t="s">
        <v>14</v>
      </c>
      <c r="C6" s="4">
        <v>19.989999999999998</v>
      </c>
      <c r="D6" s="2">
        <v>5</v>
      </c>
      <c r="E6" s="7">
        <f t="shared" si="0"/>
        <v>99.949999999999989</v>
      </c>
      <c r="F6" s="8">
        <f t="shared" si="1"/>
        <v>4.9974999999999996</v>
      </c>
      <c r="G6" s="17">
        <f t="shared" si="2"/>
        <v>94.952499999999986</v>
      </c>
      <c r="H6" s="15">
        <f t="shared" si="3"/>
        <v>0</v>
      </c>
    </row>
    <row r="7" spans="1:8" ht="16.5" customHeight="1">
      <c r="A7" s="3" t="s">
        <v>13</v>
      </c>
      <c r="B7" s="2" t="s">
        <v>15</v>
      </c>
      <c r="C7" s="4">
        <v>14.99</v>
      </c>
      <c r="D7" s="2">
        <v>8</v>
      </c>
      <c r="E7" s="7">
        <f t="shared" si="0"/>
        <v>119.92</v>
      </c>
      <c r="F7" s="8">
        <f t="shared" si="1"/>
        <v>11.992000000000001</v>
      </c>
      <c r="G7" s="17">
        <f t="shared" si="2"/>
        <v>107.928</v>
      </c>
      <c r="H7" s="15">
        <f t="shared" si="3"/>
        <v>0</v>
      </c>
    </row>
    <row r="8" spans="1:8" ht="16.5" customHeight="1">
      <c r="A8" s="3" t="s">
        <v>16</v>
      </c>
      <c r="B8" s="2" t="s">
        <v>17</v>
      </c>
      <c r="C8" s="4">
        <v>12.5</v>
      </c>
      <c r="D8" s="2">
        <v>2</v>
      </c>
      <c r="E8" s="7">
        <f t="shared" si="0"/>
        <v>25</v>
      </c>
      <c r="F8" s="8">
        <f t="shared" si="1"/>
        <v>0</v>
      </c>
      <c r="G8" s="17">
        <f t="shared" si="2"/>
        <v>25</v>
      </c>
      <c r="H8" s="15">
        <f t="shared" si="3"/>
        <v>0</v>
      </c>
    </row>
    <row r="9" spans="1:8" ht="16.5" customHeight="1">
      <c r="A9" s="3" t="s">
        <v>18</v>
      </c>
      <c r="B9" s="2" t="s">
        <v>19</v>
      </c>
      <c r="C9" s="4">
        <v>60.5</v>
      </c>
      <c r="D9" s="2">
        <v>5</v>
      </c>
      <c r="E9" s="7">
        <f t="shared" si="0"/>
        <v>302.5</v>
      </c>
      <c r="F9" s="8">
        <f t="shared" si="1"/>
        <v>15.125</v>
      </c>
      <c r="G9" s="17">
        <f t="shared" si="2"/>
        <v>287.375</v>
      </c>
      <c r="H9" s="15">
        <f t="shared" si="3"/>
        <v>0</v>
      </c>
    </row>
    <row r="10" spans="1:8" ht="16.5" customHeight="1">
      <c r="A10" s="3" t="s">
        <v>18</v>
      </c>
      <c r="B10" s="2" t="s">
        <v>20</v>
      </c>
      <c r="C10" s="4">
        <v>30.5</v>
      </c>
      <c r="D10" s="2">
        <v>1</v>
      </c>
      <c r="E10" s="7">
        <f t="shared" si="0"/>
        <v>30.5</v>
      </c>
      <c r="F10" s="8">
        <f t="shared" si="1"/>
        <v>0</v>
      </c>
      <c r="G10" s="17">
        <f t="shared" si="2"/>
        <v>30.5</v>
      </c>
      <c r="H10" s="15">
        <f t="shared" si="3"/>
        <v>0</v>
      </c>
    </row>
    <row r="11" spans="1:8" ht="16.5" customHeight="1">
      <c r="A11" s="3" t="s">
        <v>16</v>
      </c>
      <c r="B11" s="2" t="s">
        <v>21</v>
      </c>
      <c r="C11" s="4">
        <v>10.5</v>
      </c>
      <c r="D11" s="2">
        <v>6</v>
      </c>
      <c r="E11" s="7">
        <f t="shared" si="0"/>
        <v>63</v>
      </c>
      <c r="F11" s="8">
        <f t="shared" si="1"/>
        <v>3.1500000000000004</v>
      </c>
      <c r="G11" s="17">
        <f t="shared" si="2"/>
        <v>59.85</v>
      </c>
      <c r="H11" s="15">
        <f t="shared" si="3"/>
        <v>0</v>
      </c>
    </row>
    <row r="12" spans="1:8" ht="16.5" customHeight="1">
      <c r="A12" s="3" t="s">
        <v>22</v>
      </c>
      <c r="B12" s="2" t="s">
        <v>23</v>
      </c>
      <c r="C12" s="4">
        <v>34.5</v>
      </c>
      <c r="D12" s="2">
        <v>8</v>
      </c>
      <c r="E12" s="7">
        <f t="shared" si="0"/>
        <v>276</v>
      </c>
      <c r="F12" s="8">
        <f t="shared" si="1"/>
        <v>27.6</v>
      </c>
      <c r="G12" s="17">
        <f t="shared" si="2"/>
        <v>248.4</v>
      </c>
      <c r="H12" s="15">
        <f t="shared" si="3"/>
        <v>0</v>
      </c>
    </row>
    <row r="13" spans="1:8" ht="16.5" customHeight="1">
      <c r="A13" s="3" t="s">
        <v>16</v>
      </c>
      <c r="B13" s="2" t="s">
        <v>24</v>
      </c>
      <c r="C13" s="4">
        <v>50</v>
      </c>
      <c r="D13" s="2">
        <v>19</v>
      </c>
      <c r="E13" s="7">
        <f t="shared" si="0"/>
        <v>950</v>
      </c>
      <c r="F13" s="8">
        <f t="shared" si="1"/>
        <v>95</v>
      </c>
      <c r="G13" s="17">
        <f t="shared" si="2"/>
        <v>855</v>
      </c>
      <c r="H13" s="15">
        <f t="shared" si="3"/>
        <v>0.5</v>
      </c>
    </row>
    <row r="14" spans="1:8" ht="16.5" customHeight="1">
      <c r="A14" s="3" t="s">
        <v>25</v>
      </c>
      <c r="B14" s="2" t="s">
        <v>26</v>
      </c>
      <c r="C14" s="4">
        <v>350</v>
      </c>
      <c r="D14" s="2">
        <v>5</v>
      </c>
      <c r="E14" s="7">
        <f t="shared" si="0"/>
        <v>1750</v>
      </c>
      <c r="F14" s="8">
        <f t="shared" si="1"/>
        <v>87.5</v>
      </c>
      <c r="G14" s="17">
        <f t="shared" si="2"/>
        <v>1662.5</v>
      </c>
      <c r="H14" s="15">
        <f t="shared" si="3"/>
        <v>0</v>
      </c>
    </row>
    <row r="15" spans="1:8" ht="16.5" customHeight="1">
      <c r="A15" s="3" t="s">
        <v>25</v>
      </c>
      <c r="B15" s="2" t="s">
        <v>27</v>
      </c>
      <c r="C15" s="4">
        <v>400</v>
      </c>
      <c r="D15" s="2">
        <v>6</v>
      </c>
      <c r="E15" s="7">
        <f t="shared" si="0"/>
        <v>2400</v>
      </c>
      <c r="F15" s="8">
        <f t="shared" si="1"/>
        <v>120</v>
      </c>
      <c r="G15" s="17">
        <f t="shared" si="2"/>
        <v>2280</v>
      </c>
      <c r="H15" s="15">
        <f t="shared" si="3"/>
        <v>0</v>
      </c>
    </row>
    <row r="16" spans="1:8" ht="16.5" customHeight="1">
      <c r="A16" s="3" t="s">
        <v>18</v>
      </c>
      <c r="B16" s="2" t="s">
        <v>28</v>
      </c>
      <c r="C16" s="4">
        <v>19.989999999999998</v>
      </c>
      <c r="D16" s="2">
        <v>11</v>
      </c>
      <c r="E16" s="7">
        <f t="shared" si="0"/>
        <v>219.89</v>
      </c>
      <c r="F16" s="8">
        <f t="shared" si="1"/>
        <v>21.989000000000001</v>
      </c>
      <c r="G16" s="17">
        <f t="shared" si="2"/>
        <v>197.90099999999998</v>
      </c>
      <c r="H16" s="15">
        <f t="shared" si="3"/>
        <v>0.5</v>
      </c>
    </row>
    <row r="20" spans="1:5" ht="16.5" customHeight="1">
      <c r="A20" s="1" t="s">
        <v>29</v>
      </c>
      <c r="B20" s="1"/>
      <c r="C20" s="1"/>
      <c r="E20" s="13" t="s">
        <v>30</v>
      </c>
    </row>
    <row r="21" spans="1:5" ht="16.5" customHeight="1">
      <c r="A21" s="11" t="s">
        <v>1</v>
      </c>
      <c r="B21" s="11" t="s">
        <v>31</v>
      </c>
      <c r="C21" s="11" t="s">
        <v>32</v>
      </c>
    </row>
    <row r="22" spans="1:5" ht="16.5" customHeight="1">
      <c r="A22" t="s">
        <v>9</v>
      </c>
      <c r="B22" s="12">
        <f>SUMIFS(C3:C16,A3:A16,A22)</f>
        <v>31.97</v>
      </c>
      <c r="C22">
        <f>SUMIFS(D3:D16,A3:A16,A22)</f>
        <v>15</v>
      </c>
    </row>
    <row r="23" spans="1:5" ht="16.5" customHeight="1">
      <c r="A23" t="s">
        <v>13</v>
      </c>
      <c r="B23" s="12">
        <f t="shared" ref="B23:B27" si="4">SUMIFS(C4:C17,A4:A17,A23)</f>
        <v>34.979999999999997</v>
      </c>
      <c r="C23">
        <f t="shared" ref="C23:C27" si="5">SUMIFS(D4:D17,A4:A17,A23)</f>
        <v>13</v>
      </c>
    </row>
    <row r="24" spans="1:5" ht="16.5" customHeight="1">
      <c r="A24" t="s">
        <v>16</v>
      </c>
      <c r="B24" s="12">
        <f t="shared" si="4"/>
        <v>73</v>
      </c>
      <c r="C24">
        <f t="shared" si="5"/>
        <v>27</v>
      </c>
    </row>
    <row r="25" spans="1:5" ht="16.5" customHeight="1">
      <c r="A25" t="s">
        <v>18</v>
      </c>
      <c r="B25" s="12">
        <f t="shared" si="4"/>
        <v>110.99</v>
      </c>
      <c r="C25">
        <f t="shared" si="5"/>
        <v>17</v>
      </c>
      <c r="E25" s="18">
        <f>$H$16</f>
        <v>0.5</v>
      </c>
    </row>
    <row r="26" spans="1:5" ht="16.5" customHeight="1">
      <c r="A26" t="s">
        <v>22</v>
      </c>
      <c r="B26" s="12">
        <f t="shared" si="4"/>
        <v>34.5</v>
      </c>
      <c r="C26">
        <f t="shared" si="5"/>
        <v>8</v>
      </c>
      <c r="E26" s="18">
        <f>$H$13</f>
        <v>0.5</v>
      </c>
    </row>
    <row r="27" spans="1:5" ht="16.5" customHeight="1">
      <c r="A27" t="s">
        <v>25</v>
      </c>
      <c r="B27" s="12">
        <f t="shared" si="4"/>
        <v>750</v>
      </c>
      <c r="C27">
        <f t="shared" si="5"/>
        <v>11</v>
      </c>
    </row>
  </sheetData>
  <mergeCells count="2">
    <mergeCell ref="A1:G1"/>
    <mergeCell ref="A20:C20"/>
  </mergeCells>
  <conditionalFormatting sqref="C22:C27">
    <cfRule type="cellIs" dxfId="1" priority="2" operator="greaterThan">
      <formula>10</formula>
    </cfRule>
  </conditionalFormatting>
  <conditionalFormatting sqref="B22:B27">
    <cfRule type="cellIs" dxfId="0" priority="1" operator="greaterThan">
      <formula>80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Geetu</dc:creator>
  <cp:keywords/>
  <dc:description/>
  <cp:lastModifiedBy>Pablo Cerqueira Fiterman</cp:lastModifiedBy>
  <cp:revision/>
  <dcterms:created xsi:type="dcterms:W3CDTF">2021-06-08T14:42:39Z</dcterms:created>
  <dcterms:modified xsi:type="dcterms:W3CDTF">2026-07-10T02:08:15Z</dcterms:modified>
  <cp:category/>
  <cp:contentStatus/>
</cp:coreProperties>
</file>