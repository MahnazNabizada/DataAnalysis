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144" documentId="13_ncr:40009_{9011A403-47E5-440B-B7E1-02326158FD21}" xr6:coauthVersionLast="47" xr6:coauthVersionMax="47" xr10:uidLastSave="{71BAE2CE-259F-4813-989E-0B0DBAC0D31A}"/>
  <bookViews>
    <workbookView xWindow="-120" yWindow="-120" windowWidth="29040" windowHeight="15840" firstSheet="1" xr2:uid="{00000000-000D-0000-FFFF-FFFF00000000}"/>
  </bookViews>
  <sheets>
    <sheet name="Montgomery_Fleet_Equipment_Inve" sheetId="1" r:id="rId1"/>
    <sheet name="Pivot Table 1" sheetId="5" r:id="rId2"/>
    <sheet name="Pivot Table 2" sheetId="6" r:id="rId3"/>
    <sheet name="Pivot Table 3" sheetId="7" r:id="rId4"/>
  </sheets>
  <definedNames>
    <definedName name="_xlnm._FilterDatabase" localSheetId="0" hidden="1">Montgomery_Fleet_Equipment_Inve!$A$1:$C$50</definedName>
  </definedNames>
  <calcPr calcId="191028"/>
  <pivotCaches>
    <pivotCache cacheId="42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<sst xmlns="http://schemas.openxmlformats.org/spreadsheetml/2006/main" count="169" uniqueCount="38">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</sst>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642352314811" createdVersion="8" refreshedVersion="8" minRefreshableVersion="3" recordCount="49" xr:uid="{130F3009-BAAB-4569-BF4D-96219D98F603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5F584-067E-4790-BFC1-344AEB14310F}" name="PivotTable4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F5AF5-1426-4E98-AB1D-65A3131E70C0}" name="PivotTable1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4" firstHeaderRow="1" firstDataRow="1" firstDataCol="2"/>
  <pivotFields count="3">
    <pivotField axis="axisRow" compact="0" outline="0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A4AD0-7B59-4297-AF6C-B4D19958E3C6}" name="PivotTable2" cacheId="4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20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82F952-D803-46CD-AC88-9930C9E4BE98}" name="Table1" displayName="Table1" ref="A1:C51" totalsRowCount="1">
  <autoFilter ref="A1:C50" xr:uid="{9182F952-D803-46CD-AC88-9930C9E4BE98}"/>
  <tableColumns count="3">
    <tableColumn id="1" xr3:uid="{B241EB37-0BD0-4AE7-95FE-0D9B8DC709EE}" name="Department"/>
    <tableColumn id="2" xr3:uid="{C9935246-DF79-45BF-A5CD-B608A2DE7274}" name="Equipment Class" totalsRowLabel="SUM" totalsRowDxfId="0"/>
    <tableColumn id="3" xr3:uid="{BD06F635-0BE1-4927-860E-A8B77A099EC0}" name="Equipment Count" totalsRowFunction="custom">
      <totalsRowFormula>SUM(C2:C50)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19" workbookViewId="0">
      <selection sqref="A1:C50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  <row r="51" spans="1:3">
      <c r="B51" s="3" t="s">
        <v>29</v>
      </c>
      <c r="C51">
        <f>SUM(C2:C50)</f>
        <v>1582</v>
      </c>
    </row>
    <row r="52" spans="1:3">
      <c r="B52" s="3" t="s">
        <v>30</v>
      </c>
      <c r="C52">
        <f>AVERAGE(C2:C50)</f>
        <v>32.285714285714285</v>
      </c>
    </row>
    <row r="53" spans="1:3">
      <c r="B53" s="3" t="s">
        <v>31</v>
      </c>
      <c r="C53">
        <f>MIN(C2:C50)</f>
        <v>1</v>
      </c>
    </row>
    <row r="54" spans="1:3">
      <c r="B54" s="3" t="s">
        <v>32</v>
      </c>
      <c r="C54">
        <f>MAX(C2:C50)</f>
        <v>379</v>
      </c>
    </row>
    <row r="55" spans="1:3">
      <c r="B55" s="3" t="s">
        <v>33</v>
      </c>
      <c r="C55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91A4-B640-4A26-8300-3E9ADC578B80}">
  <dimension ref="A2:B15"/>
  <sheetViews>
    <sheetView topLeftCell="A2" workbookViewId="0">
      <selection activeCell="B15" sqref="B15"/>
    </sheetView>
  </sheetViews>
  <sheetFormatPr defaultRowHeight="15"/>
  <cols>
    <col min="1" max="1" width="28.42578125" bestFit="1" customWidth="1"/>
    <col min="2" max="2" width="23.140625" bestFit="1" customWidth="1"/>
  </cols>
  <sheetData>
    <row r="2" spans="1:2">
      <c r="A2" s="1" t="s">
        <v>0</v>
      </c>
      <c r="B2" t="s">
        <v>34</v>
      </c>
    </row>
    <row r="3" spans="1:2">
      <c r="A3" t="s">
        <v>27</v>
      </c>
      <c r="B3" s="2">
        <v>1221</v>
      </c>
    </row>
    <row r="4" spans="1:2">
      <c r="A4" t="s">
        <v>14</v>
      </c>
      <c r="B4" s="2">
        <v>109</v>
      </c>
    </row>
    <row r="5" spans="1:2">
      <c r="A5" t="s">
        <v>19</v>
      </c>
      <c r="B5" s="2">
        <v>85</v>
      </c>
    </row>
    <row r="6" spans="1:2">
      <c r="A6" t="s">
        <v>11</v>
      </c>
      <c r="B6" s="2">
        <v>56</v>
      </c>
    </row>
    <row r="7" spans="1:2">
      <c r="A7" t="s">
        <v>3</v>
      </c>
      <c r="B7" s="2">
        <v>45</v>
      </c>
    </row>
    <row r="8" spans="1:2">
      <c r="A8" t="s">
        <v>17</v>
      </c>
      <c r="B8" s="2">
        <v>35</v>
      </c>
    </row>
    <row r="9" spans="1:2">
      <c r="A9" t="s">
        <v>26</v>
      </c>
      <c r="B9" s="2">
        <v>16</v>
      </c>
    </row>
    <row r="10" spans="1:2">
      <c r="A10" t="s">
        <v>8</v>
      </c>
      <c r="B10" s="2">
        <v>6</v>
      </c>
    </row>
    <row r="11" spans="1:2">
      <c r="A11" t="s">
        <v>25</v>
      </c>
      <c r="B11" s="2">
        <v>5</v>
      </c>
    </row>
    <row r="12" spans="1:2">
      <c r="A12" t="s">
        <v>7</v>
      </c>
      <c r="B12" s="2">
        <v>2</v>
      </c>
    </row>
    <row r="13" spans="1:2">
      <c r="A13" t="s">
        <v>13</v>
      </c>
      <c r="B13" s="2">
        <v>1</v>
      </c>
    </row>
    <row r="14" spans="1:2">
      <c r="A14" t="s">
        <v>16</v>
      </c>
      <c r="B14" s="2">
        <v>1</v>
      </c>
    </row>
    <row r="15" spans="1:2">
      <c r="A15" t="s">
        <v>35</v>
      </c>
      <c r="B15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B7C9-CE36-493F-B3DA-D03E5C33EE31}">
  <dimension ref="A2:C24"/>
  <sheetViews>
    <sheetView topLeftCell="A2" workbookViewId="0">
      <selection activeCell="A3" sqref="A3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2" spans="1:3">
      <c r="A2" s="1" t="s">
        <v>0</v>
      </c>
      <c r="B2" s="1" t="s">
        <v>1</v>
      </c>
      <c r="C2" t="s">
        <v>34</v>
      </c>
    </row>
    <row r="3" spans="1:3">
      <c r="A3" t="s">
        <v>27</v>
      </c>
      <c r="B3" t="s">
        <v>15</v>
      </c>
      <c r="C3" s="2">
        <v>5</v>
      </c>
    </row>
    <row r="4" spans="1:3">
      <c r="B4" t="s">
        <v>12</v>
      </c>
      <c r="C4" s="2">
        <v>248</v>
      </c>
    </row>
    <row r="5" spans="1:3">
      <c r="B5" t="s">
        <v>10</v>
      </c>
      <c r="C5" s="2">
        <v>98</v>
      </c>
    </row>
    <row r="6" spans="1:3">
      <c r="B6" t="s">
        <v>18</v>
      </c>
      <c r="C6" s="2">
        <v>276</v>
      </c>
    </row>
    <row r="7" spans="1:3">
      <c r="B7" t="s">
        <v>4</v>
      </c>
      <c r="C7" s="2">
        <v>93</v>
      </c>
    </row>
    <row r="8" spans="1:3">
      <c r="B8" t="s">
        <v>6</v>
      </c>
      <c r="C8" s="2">
        <v>37</v>
      </c>
    </row>
    <row r="9" spans="1:3">
      <c r="B9" t="s">
        <v>5</v>
      </c>
      <c r="C9" s="2">
        <v>53</v>
      </c>
    </row>
    <row r="10" spans="1:3">
      <c r="B10" t="s">
        <v>28</v>
      </c>
      <c r="C10" s="2">
        <v>379</v>
      </c>
    </row>
    <row r="11" spans="1:3">
      <c r="B11" t="s">
        <v>9</v>
      </c>
      <c r="C11" s="2">
        <v>32</v>
      </c>
    </row>
    <row r="12" spans="1:3">
      <c r="A12" t="s">
        <v>36</v>
      </c>
      <c r="C12" s="2">
        <v>1221</v>
      </c>
    </row>
    <row r="13" spans="1:3">
      <c r="A13" t="s">
        <v>14</v>
      </c>
      <c r="C13" s="2">
        <v>109</v>
      </c>
    </row>
    <row r="14" spans="1:3">
      <c r="A14" t="s">
        <v>19</v>
      </c>
      <c r="C14" s="2">
        <v>85</v>
      </c>
    </row>
    <row r="15" spans="1:3">
      <c r="A15" t="s">
        <v>11</v>
      </c>
      <c r="C15" s="2">
        <v>56</v>
      </c>
    </row>
    <row r="16" spans="1:3">
      <c r="A16" t="s">
        <v>3</v>
      </c>
      <c r="C16" s="2">
        <v>45</v>
      </c>
    </row>
    <row r="17" spans="1:3">
      <c r="A17" t="s">
        <v>17</v>
      </c>
      <c r="C17" s="2">
        <v>35</v>
      </c>
    </row>
    <row r="18" spans="1:3">
      <c r="A18" t="s">
        <v>26</v>
      </c>
      <c r="C18" s="2">
        <v>16</v>
      </c>
    </row>
    <row r="19" spans="1:3">
      <c r="A19" t="s">
        <v>8</v>
      </c>
      <c r="C19" s="2">
        <v>6</v>
      </c>
    </row>
    <row r="20" spans="1:3">
      <c r="A20" t="s">
        <v>25</v>
      </c>
      <c r="C20" s="2">
        <v>5</v>
      </c>
    </row>
    <row r="21" spans="1:3">
      <c r="A21" t="s">
        <v>7</v>
      </c>
      <c r="C21" s="2">
        <v>2</v>
      </c>
    </row>
    <row r="22" spans="1:3">
      <c r="A22" t="s">
        <v>13</v>
      </c>
      <c r="C22" s="2">
        <v>1</v>
      </c>
    </row>
    <row r="23" spans="1:3">
      <c r="A23" t="s">
        <v>16</v>
      </c>
      <c r="C23" s="2">
        <v>1</v>
      </c>
    </row>
    <row r="24" spans="1:3">
      <c r="A24" t="s">
        <v>35</v>
      </c>
      <c r="C24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1932-68A1-45A0-88E8-2BDC87ABB18F}">
  <dimension ref="A2:C20"/>
  <sheetViews>
    <sheetView topLeftCell="A2" workbookViewId="0">
      <selection activeCell="A3" sqref="A3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2" spans="1:3">
      <c r="A2" s="1" t="s">
        <v>1</v>
      </c>
      <c r="B2" s="1" t="s">
        <v>0</v>
      </c>
      <c r="C2" t="s">
        <v>34</v>
      </c>
    </row>
    <row r="3" spans="1:3">
      <c r="A3" t="s">
        <v>15</v>
      </c>
      <c r="B3" t="s">
        <v>14</v>
      </c>
      <c r="C3" s="2">
        <v>9</v>
      </c>
    </row>
    <row r="4" spans="1:3">
      <c r="B4" t="s">
        <v>27</v>
      </c>
      <c r="C4" s="2">
        <v>5</v>
      </c>
    </row>
    <row r="5" spans="1:3">
      <c r="B5" t="s">
        <v>26</v>
      </c>
      <c r="C5" s="2">
        <v>1</v>
      </c>
    </row>
    <row r="6" spans="1:3">
      <c r="A6" t="s">
        <v>37</v>
      </c>
      <c r="C6" s="2">
        <v>15</v>
      </c>
    </row>
    <row r="7" spans="1:3">
      <c r="A7" t="s">
        <v>12</v>
      </c>
      <c r="C7" s="2">
        <v>290</v>
      </c>
    </row>
    <row r="8" spans="1:3">
      <c r="A8" t="s">
        <v>10</v>
      </c>
      <c r="C8" s="2">
        <v>100</v>
      </c>
    </row>
    <row r="9" spans="1:3">
      <c r="A9" t="s">
        <v>18</v>
      </c>
      <c r="C9" s="2">
        <v>283</v>
      </c>
    </row>
    <row r="10" spans="1:3">
      <c r="A10" t="s">
        <v>4</v>
      </c>
      <c r="C10" s="2">
        <v>150</v>
      </c>
    </row>
    <row r="11" spans="1:3">
      <c r="A11" t="s">
        <v>22</v>
      </c>
      <c r="C11" s="2">
        <v>4</v>
      </c>
    </row>
    <row r="12" spans="1:3">
      <c r="A12" t="s">
        <v>24</v>
      </c>
      <c r="C12" s="2">
        <v>1</v>
      </c>
    </row>
    <row r="13" spans="1:3">
      <c r="A13" t="s">
        <v>23</v>
      </c>
      <c r="C13" s="2">
        <v>47</v>
      </c>
    </row>
    <row r="14" spans="1:3">
      <c r="A14" t="s">
        <v>20</v>
      </c>
      <c r="C14" s="2">
        <v>20</v>
      </c>
    </row>
    <row r="15" spans="1:3">
      <c r="A15" t="s">
        <v>21</v>
      </c>
      <c r="C15" s="2">
        <v>8</v>
      </c>
    </row>
    <row r="16" spans="1:3">
      <c r="A16" t="s">
        <v>6</v>
      </c>
      <c r="C16" s="2">
        <v>130</v>
      </c>
    </row>
    <row r="17" spans="1:3">
      <c r="A17" t="s">
        <v>5</v>
      </c>
      <c r="C17" s="2">
        <v>90</v>
      </c>
    </row>
    <row r="18" spans="1:3">
      <c r="A18" t="s">
        <v>28</v>
      </c>
      <c r="C18" s="2">
        <v>379</v>
      </c>
    </row>
    <row r="19" spans="1:3">
      <c r="A19" t="s">
        <v>9</v>
      </c>
      <c r="C19" s="2">
        <v>65</v>
      </c>
    </row>
    <row r="20" spans="1:3">
      <c r="A20" t="s">
        <v>35</v>
      </c>
      <c r="C20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2020-09-01T17:18:12Z</dcterms:created>
  <dcterms:modified xsi:type="dcterms:W3CDTF">2026-07-09T19:28:47Z</dcterms:modified>
  <cp:category/>
  <cp:contentStatus/>
</cp:coreProperties>
</file>